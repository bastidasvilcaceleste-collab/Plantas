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<sst xmlns="http://schemas.openxmlformats.org/spreadsheetml/2006/main" count="34" uniqueCount="29">
  <si>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PRESUPUESTO DE LA INVESTIGACIÓN</t>
  </si>
  <si>
    <t xml:space="preserve">Detección de enfermedades en plantas de huerto doméstico mediante CNN con fine-tuning</t>
  </si>
  <si>
    <t xml:space="preserve">Ahuac, Chupaca, Junín | Periodo: marzo - julio 2026 | Financiamiento: autofinanciado</t>
  </si>
  <si>
    <t xml:space="preserve">Rubro</t>
  </si>
  <si>
    <t xml:space="preserve">Descripción</t>
  </si>
  <si>
    <t xml:space="preserve">Cant.</t>
  </si>
  <si>
    <t xml:space="preserve">P. Unit. (S/)</t>
  </si>
  <si>
    <t xml:space="preserve">Total (S/)</t>
  </si>
  <si>
    <t xml:space="preserve">Equipos</t>
  </si>
  <si>
    <t xml:space="preserve">Smartphone Samsung A54 (cámara 50 MP) para recolección de imágenes</t>
  </si>
  <si>
    <t xml:space="preserve">Laptop para desarrollo y entrenamiento de modelos (uso propio)</t>
  </si>
  <si>
    <t xml:space="preserve">Servicios en la nube</t>
  </si>
  <si>
    <t xml:space="preserve">Google Colab Pro+ (GPU T4/A100 para entrenamiento CNN)</t>
  </si>
  <si>
    <t xml:space="preserve">Almacenamiento Google Drive 100 GB</t>
  </si>
  <si>
    <t xml:space="preserve">Materiales de campo</t>
  </si>
  <si>
    <t xml:space="preserve">Cuaderno de campo y lapiceros para ficha de registro de imágenes</t>
  </si>
  <si>
    <t xml:space="preserve">Impresión de fichas de registro y cuestionario SUS (30 juegos)</t>
  </si>
  <si>
    <t xml:space="preserve">Transporte y viáticos</t>
  </si>
  <si>
    <t xml:space="preserve">Pasajes Huancayo-Ahuac (ida y vuelta, 4 salidas de campo)</t>
  </si>
  <si>
    <t xml:space="preserve">Alimentación durante salidas de campo (4 días)</t>
  </si>
  <si>
    <t xml:space="preserve">Software</t>
  </si>
  <si>
    <t xml:space="preserve">Python 3.10 + TensorFlow 2.13 + librerías (código abierto)</t>
  </si>
  <si>
    <t xml:space="preserve">IBM SPSS Statistics 27 (licencia estudiante 6 meses)</t>
  </si>
  <si>
    <t xml:space="preserve">Comunicaciones</t>
  </si>
  <si>
    <t xml:space="preserve">Plan de datos móviles (internet campo y coordinación)</t>
  </si>
  <si>
    <t xml:space="preserve">Subtotal</t>
  </si>
  <si>
    <t xml:space="preserve">Imprevistos (10% del subtotal)</t>
  </si>
  <si>
    <t xml:space="preserve">TOTAL GENERAL</t>
  </si>
  <si>
    <t xml:space="preserve">Nota: Elaboración propia. Los ítems con monto S/ 0.00 corresponden a recursos de código abierto o de uso propio sin costo adicional. El financiamiento es de carácter autofinanciado por la investigadora.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</si>
</sst>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S/ &quot;#,##0.00;&quot;(S/ &quot;#,##0.00\);\-"/>
    <numFmt numFmtId="166" formatCode="&quot;S/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444444"/>
      </patternFill>
    </fill>
    <fill>
      <patternFill patternType="solid">
        <fgColor rgb="FFEDF3F5"/>
        <bgColor rgb="FFFFFFFF"/>
      </patternFill>
    </fill>
    <fill>
      <patternFill patternType="solid">
        <fgColor rgb="FF1F7A3D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6.85" hidden="false" customHeight="false" outlineLevel="0" collapsed="false">
      <c r="A6" s="5" t="s">
        <v>8</v>
      </c>
      <c r="B6" s="6" t="s">
        <v>9</v>
      </c>
      <c r="C6" s="7" t="n">
        <v>1</v>
      </c>
      <c r="D6" s="8" t="n">
        <v>1200</v>
      </c>
      <c r="E6" s="9" t="n">
        <f aca="false">C6*D6</f>
        <v>1200</v>
      </c>
    </row>
    <row r="7" customFormat="false" ht="26.85" hidden="false" customHeight="false" outlineLevel="0" collapsed="false">
      <c r="A7" s="10" t="s">
        <v>8</v>
      </c>
      <c r="B7" s="11" t="s">
        <v>10</v>
      </c>
      <c r="C7" s="12" t="n">
        <v>1</v>
      </c>
      <c r="D7" s="13" t="n">
        <v>0</v>
      </c>
      <c r="E7" s="14" t="n">
        <f aca="false">C7*D7</f>
        <v>0</v>
      </c>
    </row>
    <row r="8" customFormat="false" ht="26.85" hidden="false" customHeight="false" outlineLevel="0" collapsed="false">
      <c r="A8" s="5" t="s">
        <v>11</v>
      </c>
      <c r="B8" s="6" t="s">
        <v>12</v>
      </c>
      <c r="C8" s="7" t="n">
        <v>5</v>
      </c>
      <c r="D8" s="8" t="n">
        <v>55</v>
      </c>
      <c r="E8" s="9" t="n">
        <f aca="false">C8*D8</f>
        <v>275</v>
      </c>
    </row>
    <row r="9" customFormat="false" ht="26.85" hidden="false" customHeight="false" outlineLevel="0" collapsed="false">
      <c r="A9" s="10" t="s">
        <v>11</v>
      </c>
      <c r="B9" s="11" t="s">
        <v>13</v>
      </c>
      <c r="C9" s="12" t="n">
        <v>5</v>
      </c>
      <c r="D9" s="13" t="n">
        <v>10</v>
      </c>
      <c r="E9" s="14" t="n">
        <f aca="false">C9*D9</f>
        <v>50</v>
      </c>
    </row>
    <row r="10" customFormat="false" ht="26.85" hidden="false" customHeight="false" outlineLevel="0" collapsed="false">
      <c r="A10" s="5" t="s">
        <v>14</v>
      </c>
      <c r="B10" s="6" t="s">
        <v>15</v>
      </c>
      <c r="C10" s="7" t="n">
        <v>2</v>
      </c>
      <c r="D10" s="8" t="n">
        <v>15</v>
      </c>
      <c r="E10" s="9" t="n">
        <f aca="false">C10*D10</f>
        <v>30</v>
      </c>
    </row>
    <row r="11" customFormat="false" ht="26.85" hidden="false" customHeight="false" outlineLevel="0" collapsed="false">
      <c r="A11" s="10" t="s">
        <v>14</v>
      </c>
      <c r="B11" s="11" t="s">
        <v>16</v>
      </c>
      <c r="C11" s="12" t="n">
        <v>30</v>
      </c>
      <c r="D11" s="13" t="n">
        <v>1</v>
      </c>
      <c r="E11" s="14" t="n">
        <f aca="false">C11*D11</f>
        <v>30</v>
      </c>
    </row>
    <row r="12" customFormat="false" ht="26.85" hidden="false" customHeight="false" outlineLevel="0" collapsed="false">
      <c r="A12" s="5" t="s">
        <v>17</v>
      </c>
      <c r="B12" s="6" t="s">
        <v>18</v>
      </c>
      <c r="C12" s="7" t="n">
        <v>8</v>
      </c>
      <c r="D12" s="8" t="n">
        <v>15</v>
      </c>
      <c r="E12" s="9" t="n">
        <f aca="false">C12*D12</f>
        <v>120</v>
      </c>
    </row>
    <row r="13" customFormat="false" ht="26.85" hidden="false" customHeight="false" outlineLevel="0" collapsed="false">
      <c r="A13" s="10" t="s">
        <v>17</v>
      </c>
      <c r="B13" s="11" t="s">
        <v>19</v>
      </c>
      <c r="C13" s="12" t="n">
        <v>4</v>
      </c>
      <c r="D13" s="13" t="n">
        <v>25</v>
      </c>
      <c r="E13" s="14" t="n">
        <f aca="false">C13*D13</f>
        <v>100</v>
      </c>
    </row>
    <row r="14" customFormat="false" ht="26.85" hidden="false" customHeight="false" outlineLevel="0" collapsed="false">
      <c r="A14" s="5" t="s">
        <v>20</v>
      </c>
      <c r="B14" s="6" t="s">
        <v>21</v>
      </c>
      <c r="C14" s="7" t="n">
        <v>1</v>
      </c>
      <c r="D14" s="8" t="n">
        <v>0</v>
      </c>
      <c r="E14" s="9" t="n">
        <f aca="false">C14*D14</f>
        <v>0</v>
      </c>
    </row>
    <row r="15" customFormat="false" ht="26.85" hidden="false" customHeight="false" outlineLevel="0" collapsed="false">
      <c r="A15" s="10" t="s">
        <v>20</v>
      </c>
      <c r="B15" s="11" t="s">
        <v>22</v>
      </c>
      <c r="C15" s="12" t="n">
        <v>1</v>
      </c>
      <c r="D15" s="13" t="n">
        <v>180</v>
      </c>
      <c r="E15" s="14" t="n">
        <f aca="false">C15*D15</f>
        <v>180</v>
      </c>
    </row>
    <row r="16" customFormat="false" ht="26.85" hidden="false" customHeight="false" outlineLevel="0" collapsed="false">
      <c r="A16" s="5" t="s">
        <v>23</v>
      </c>
      <c r="B16" s="6" t="s">
        <v>24</v>
      </c>
      <c r="C16" s="7" t="n">
        <v>5</v>
      </c>
      <c r="D16" s="8" t="n">
        <v>35</v>
      </c>
      <c r="E16" s="9" t="n">
        <f aca="false">C16*D16</f>
        <v>175</v>
      </c>
    </row>
    <row r="17" customFormat="false" ht="15" hidden="false" customHeight="false" outlineLevel="0" collapsed="false">
      <c r="A17" s="15" t="s">
        <v>25</v>
      </c>
      <c r="B17" s="15"/>
      <c r="C17" s="15"/>
      <c r="D17" s="15"/>
      <c r="E17" s="16" t="n">
        <f aca="false">SUM(E6:E16)</f>
        <v>2160</v>
      </c>
    </row>
    <row r="18" customFormat="false" ht="15" hidden="false" customHeight="false" outlineLevel="0" collapsed="false">
      <c r="A18" s="15" t="s">
        <v>26</v>
      </c>
      <c r="B18" s="15"/>
      <c r="C18" s="15"/>
      <c r="D18" s="15"/>
      <c r="E18" s="16" t="n">
        <f aca="false">E17*0.1</f>
        <v>216</v>
      </c>
    </row>
    <row r="19" customFormat="false" ht="15" hidden="false" customHeight="false" outlineLevel="0" collapsed="false">
      <c r="A19" s="17" t="s">
        <v>27</v>
      </c>
      <c r="B19" s="17"/>
      <c r="C19" s="17"/>
      <c r="D19" s="17"/>
      <c r="E19" s="18" t="n">
        <f aca="false">E17+E18</f>
        <v>2376</v>
      </c>
    </row>
    <row r="21" customFormat="false" ht="30" hidden="false" customHeight="true" outlineLevel="0" collapsed="false">
      <c r="A21" s="19" t="s">
        <v>28</v>
      </c>
      <c r="B21" s="19"/>
      <c r="C21" s="19"/>
      <c r="D21" s="19"/>
      <c r="E21" s="19"/>
    </row>
  </sheetData>
  <mergeCells count="7">
    <mergeCell ref="A1:E1"/>
    <mergeCell ref="A2:E2"/>
    <mergeCell ref="A3:E3"/>
    <mergeCell ref="A17:D17"/>
    <mergeCell ref="A18:D18"/>
    <mergeCell ref="A19:D19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2026-06-26T12:36:10Z</dcterms:created>
  <dc:creator>openpyxl</dc:creator>
  <dc:description/>
  <dc:language>en-US</dc:language>
  <cp:lastModifiedBy/>
  <dcterms:modified xsi:type="dcterms:W3CDTF">2026-06-26T12:36:10Z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